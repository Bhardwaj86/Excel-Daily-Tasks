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7090E27-3A55-4768-BB44-EC6E619050F6}" xr6:coauthVersionLast="47" xr6:coauthVersionMax="47" xr10:uidLastSave="{00000000-0000-0000-0000-000000000000}"/>
  <bookViews>
    <workbookView xWindow="-110" yWindow="-110" windowWidth="19420" windowHeight="10300" activeTab="7" xr2:uid="{AC1ADFCF-D85D-4EB9-A013-F7C2D192FE48}"/>
  </bookViews>
  <sheets>
    <sheet name="Syllabus" sheetId="10" r:id="rId1"/>
    <sheet name="Inventions" sheetId="2" r:id="rId2"/>
    <sheet name="Class 1" sheetId="1" r:id="rId3"/>
    <sheet name="Introduction" sheetId="3" r:id="rId4"/>
    <sheet name="Day 1" sheetId="4" r:id="rId5"/>
    <sheet name="Transpose" sheetId="5" r:id="rId6"/>
    <sheet name="Paste Link" sheetId="6" r:id="rId7"/>
    <sheet name="Skip Blank" sheetId="7" r:id="rId8"/>
    <sheet name="Paste Special Operations" sheetId="8" r:id="rId9"/>
    <sheet name="Math and Trigo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2" i="4"/>
  <c r="R3" i="4"/>
  <c r="R4" i="4"/>
  <c r="R5" i="4"/>
  <c r="R6" i="4"/>
  <c r="R7" i="4"/>
  <c r="R8" i="4"/>
  <c r="R9" i="4"/>
  <c r="R10" i="4"/>
  <c r="R11" i="4"/>
  <c r="R2" i="4"/>
  <c r="Q3" i="4"/>
  <c r="Q4" i="4"/>
  <c r="Q5" i="4"/>
  <c r="Q6" i="4"/>
  <c r="Q7" i="4"/>
  <c r="Q8" i="4"/>
  <c r="Q9" i="4"/>
  <c r="Q10" i="4"/>
  <c r="Q11" i="4"/>
  <c r="Q2" i="4"/>
  <c r="O3" i="4"/>
  <c r="O4" i="4"/>
  <c r="O5" i="4"/>
  <c r="O6" i="4"/>
  <c r="O7" i="4"/>
  <c r="O8" i="4"/>
  <c r="O9" i="4"/>
  <c r="O10" i="4"/>
  <c r="O11" i="4"/>
  <c r="O2" i="4"/>
  <c r="F2" i="4"/>
  <c r="E3" i="9"/>
  <c r="E4" i="9"/>
  <c r="E5" i="9"/>
  <c r="E6" i="9"/>
  <c r="E7" i="9"/>
  <c r="E8" i="9"/>
  <c r="E9" i="9"/>
  <c r="E10" i="9"/>
  <c r="E2" i="9"/>
  <c r="D3" i="9"/>
  <c r="D4" i="9"/>
  <c r="D5" i="9"/>
  <c r="D6" i="9"/>
  <c r="D7" i="9"/>
  <c r="D8" i="9"/>
  <c r="D9" i="9"/>
  <c r="D10" i="9"/>
  <c r="D2" i="9"/>
  <c r="C3" i="9"/>
  <c r="C4" i="9"/>
  <c r="C5" i="9"/>
  <c r="C6" i="9"/>
  <c r="C7" i="9"/>
  <c r="C8" i="9"/>
  <c r="C9" i="9"/>
  <c r="C10" i="9"/>
  <c r="C2" i="9"/>
  <c r="B3" i="9"/>
  <c r="B4" i="9"/>
  <c r="B5" i="9"/>
  <c r="B6" i="9"/>
  <c r="B7" i="9"/>
  <c r="B8" i="9"/>
  <c r="B9" i="9"/>
  <c r="B10" i="9"/>
  <c r="B2" i="9"/>
  <c r="J3" i="8"/>
  <c r="J4" i="8"/>
  <c r="J5" i="8"/>
  <c r="J6" i="8"/>
  <c r="J7" i="8"/>
  <c r="J8" i="8"/>
  <c r="J9" i="8"/>
  <c r="J10" i="8"/>
  <c r="J2" i="8"/>
  <c r="I3" i="8"/>
  <c r="I4" i="8"/>
  <c r="I5" i="8"/>
  <c r="I6" i="8"/>
  <c r="I7" i="8"/>
  <c r="I8" i="8"/>
  <c r="I9" i="8"/>
  <c r="I10" i="8"/>
  <c r="I2" i="8"/>
  <c r="F1" i="6"/>
  <c r="F2" i="6"/>
  <c r="F3" i="6"/>
  <c r="F4" i="6"/>
  <c r="F5" i="6"/>
  <c r="F6" i="6"/>
  <c r="F7" i="6"/>
  <c r="F8" i="6"/>
  <c r="F9" i="6"/>
  <c r="F10" i="6"/>
  <c r="F11" i="6"/>
  <c r="W3" i="4"/>
  <c r="W4" i="4"/>
  <c r="W5" i="4"/>
  <c r="W6" i="4"/>
  <c r="W7" i="4"/>
  <c r="W8" i="4"/>
  <c r="W9" i="4"/>
  <c r="W10" i="4"/>
  <c r="W11" i="4"/>
  <c r="W2" i="4"/>
  <c r="V2" i="4"/>
  <c r="U3" i="4"/>
  <c r="U4" i="4"/>
  <c r="U5" i="4"/>
  <c r="U6" i="4"/>
  <c r="U7" i="4"/>
  <c r="U8" i="4"/>
  <c r="U9" i="4"/>
  <c r="U10" i="4"/>
  <c r="U11" i="4"/>
  <c r="U2" i="4"/>
  <c r="V3" i="4"/>
  <c r="V4" i="4"/>
  <c r="V5" i="4"/>
  <c r="V6" i="4"/>
  <c r="V7" i="4"/>
  <c r="V8" i="4"/>
  <c r="V9" i="4"/>
  <c r="V10" i="4"/>
  <c r="V11" i="4"/>
  <c r="P3" i="4"/>
  <c r="P4" i="4"/>
  <c r="P5" i="4"/>
  <c r="P6" i="4"/>
  <c r="P7" i="4"/>
  <c r="P8" i="4"/>
  <c r="P9" i="4"/>
  <c r="P10" i="4"/>
  <c r="P11" i="4"/>
  <c r="P2" i="4"/>
  <c r="N3" i="4"/>
  <c r="N4" i="4"/>
  <c r="N5" i="4"/>
  <c r="N6" i="4"/>
  <c r="N7" i="4"/>
  <c r="N8" i="4"/>
  <c r="N9" i="4"/>
  <c r="N10" i="4"/>
  <c r="N11" i="4"/>
  <c r="N2" i="4"/>
  <c r="K3" i="4"/>
  <c r="K4" i="4"/>
  <c r="K5" i="4"/>
  <c r="K6" i="4"/>
  <c r="K7" i="4"/>
  <c r="K8" i="4"/>
  <c r="K9" i="4"/>
  <c r="K10" i="4"/>
  <c r="K11" i="4"/>
  <c r="K2" i="4"/>
  <c r="H3" i="4"/>
  <c r="H4" i="4"/>
  <c r="H5" i="4"/>
  <c r="H6" i="4"/>
  <c r="H7" i="4"/>
  <c r="H8" i="4"/>
  <c r="H9" i="4"/>
  <c r="H10" i="4"/>
  <c r="H11" i="4"/>
  <c r="H2" i="4"/>
  <c r="G3" i="4"/>
  <c r="G4" i="4"/>
  <c r="G5" i="4"/>
  <c r="G6" i="4"/>
  <c r="G7" i="4"/>
  <c r="G8" i="4"/>
  <c r="G9" i="4"/>
  <c r="G10" i="4"/>
  <c r="G11" i="4"/>
  <c r="G2" i="4"/>
  <c r="F3" i="4"/>
  <c r="F4" i="4"/>
  <c r="F5" i="4"/>
  <c r="F6" i="4"/>
  <c r="F7" i="4"/>
  <c r="F8" i="4"/>
  <c r="F9" i="4"/>
  <c r="F10" i="4"/>
  <c r="F11" i="4"/>
  <c r="E2" i="4"/>
  <c r="E3" i="4"/>
  <c r="E4" i="4"/>
  <c r="E5" i="4"/>
  <c r="E6" i="4"/>
  <c r="E7" i="4"/>
  <c r="E8" i="4"/>
  <c r="E9" i="4"/>
  <c r="E10" i="4"/>
  <c r="E11" i="4"/>
  <c r="D3" i="4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B3" i="4"/>
  <c r="B4" i="4"/>
  <c r="B5" i="4"/>
  <c r="B6" i="4"/>
  <c r="B7" i="4"/>
  <c r="B8" i="4"/>
  <c r="B9" i="4"/>
  <c r="B10" i="4"/>
  <c r="B11" i="4"/>
  <c r="B2" i="4"/>
</calcChain>
</file>

<file path=xl/sharedStrings.xml><?xml version="1.0" encoding="utf-8"?>
<sst xmlns="http://schemas.openxmlformats.org/spreadsheetml/2006/main" count="282" uniqueCount="181">
  <si>
    <t>MS-WORD</t>
  </si>
  <si>
    <t>MS-EXCEL</t>
  </si>
  <si>
    <t>MS-POWERPOINT</t>
  </si>
  <si>
    <t>MS-ACCESS</t>
  </si>
  <si>
    <t>DOCUMENTS</t>
  </si>
  <si>
    <t>LETTERS</t>
  </si>
  <si>
    <t>FORMULAS</t>
  </si>
  <si>
    <t>DATA TABLES</t>
  </si>
  <si>
    <t>ANIMATION</t>
  </si>
  <si>
    <t>TABLE DESIGN</t>
  </si>
  <si>
    <t>FORM DESIGN</t>
  </si>
  <si>
    <t>MS-OFFICE</t>
  </si>
  <si>
    <t>Inventions of Excel</t>
  </si>
  <si>
    <t>multiplan (apple)</t>
  </si>
  <si>
    <t>microsoft excel 1.0</t>
  </si>
  <si>
    <t>microsoft excel 2.0</t>
  </si>
  <si>
    <t>microsoft excel</t>
  </si>
  <si>
    <t>1990 - 1993</t>
  </si>
  <si>
    <t>excel 95 VBA</t>
  </si>
  <si>
    <t>excel 2003</t>
  </si>
  <si>
    <t>excel 2007</t>
  </si>
  <si>
    <t>excel 2010 - 2016</t>
  </si>
  <si>
    <t>2010 - 2016</t>
  </si>
  <si>
    <t>excel 2019</t>
  </si>
  <si>
    <t>excel 365</t>
  </si>
  <si>
    <t xml:space="preserve">       present</t>
  </si>
  <si>
    <t>Excel is World Most Famous Spreadsheet Application</t>
  </si>
  <si>
    <t>Any Software that contain data in rows &amp; Column is known As Spreadsheet</t>
  </si>
  <si>
    <t xml:space="preserve">It is Integral Part of MS-Office </t>
  </si>
  <si>
    <t>Horizontal lines are known as Rows</t>
  </si>
  <si>
    <t>Vertical Lines are Known as Columns</t>
  </si>
  <si>
    <t>Intersection of Row &amp; Column is Known as Cell.</t>
  </si>
  <si>
    <t>Alphabets are Columns</t>
  </si>
  <si>
    <t>Number are denoted as Rows</t>
  </si>
  <si>
    <t>Total Numbers of Rows 10,48,576</t>
  </si>
  <si>
    <t>Total Number of Columns 16,384</t>
  </si>
  <si>
    <t>1 is First Row</t>
  </si>
  <si>
    <t>A is First Column</t>
  </si>
  <si>
    <t>A1 is First Cell</t>
  </si>
  <si>
    <t>XFD1048576 is Last Cell.</t>
  </si>
  <si>
    <t>CTRL+DOWN Arrow Key To go Last Row</t>
  </si>
  <si>
    <t>CTRL+RIGHT Arrow key to go Last Column</t>
  </si>
  <si>
    <t>CTRL+LEFT Arrow Key for First Column</t>
  </si>
  <si>
    <t>CTRL+UP Arrow Key To go First  Row</t>
  </si>
  <si>
    <t>SHIFT + F11 Key Used to Insert New Worksheet</t>
  </si>
  <si>
    <t>CTRL+PGDn is Used To Next Sheet</t>
  </si>
  <si>
    <t>CTRL+UP is Used To Previous Sheet</t>
  </si>
  <si>
    <t>CLRT+HOME For First  Cell</t>
  </si>
  <si>
    <t>CTRL+A To Select All Data</t>
  </si>
  <si>
    <t xml:space="preserve">ALT+PGDN </t>
  </si>
  <si>
    <t>F11 To Insert Instant Chart</t>
  </si>
  <si>
    <t>ALT+F1 To Insert Chart in Data Sheet</t>
  </si>
  <si>
    <t>.XLSX</t>
  </si>
  <si>
    <t>.XLSM</t>
  </si>
  <si>
    <t>.XLSB</t>
  </si>
  <si>
    <t>Employee Name</t>
  </si>
  <si>
    <t>Upper</t>
  </si>
  <si>
    <t>Lower</t>
  </si>
  <si>
    <t>Proper</t>
  </si>
  <si>
    <t>Len</t>
  </si>
  <si>
    <t>Left</t>
  </si>
  <si>
    <t>Right</t>
  </si>
  <si>
    <t>MID</t>
  </si>
  <si>
    <t>First Name</t>
  </si>
  <si>
    <t>Last Name</t>
  </si>
  <si>
    <t>Full Name</t>
  </si>
  <si>
    <t>Exact</t>
  </si>
  <si>
    <t>(Operator)</t>
  </si>
  <si>
    <t>Find</t>
  </si>
  <si>
    <t>Search</t>
  </si>
  <si>
    <t>Replace</t>
  </si>
  <si>
    <t>Substitute</t>
  </si>
  <si>
    <t>Trim</t>
  </si>
  <si>
    <t>JP Kumar</t>
  </si>
  <si>
    <t>JP</t>
  </si>
  <si>
    <t>Kumar</t>
  </si>
  <si>
    <t>Jp Kumar</t>
  </si>
  <si>
    <t>JP                           Kumar</t>
  </si>
  <si>
    <t>Anjali THakur</t>
  </si>
  <si>
    <t>Anjali</t>
  </si>
  <si>
    <t>THakur</t>
  </si>
  <si>
    <t>Anjali Thakur</t>
  </si>
  <si>
    <t>Anjali        THakur</t>
  </si>
  <si>
    <t>Priya AgarwaL</t>
  </si>
  <si>
    <t>Priya</t>
  </si>
  <si>
    <t>AgarwaL</t>
  </si>
  <si>
    <t>Priya Agarwal</t>
  </si>
  <si>
    <t>Priya                 AgarwaL</t>
  </si>
  <si>
    <t>R Vasu</t>
  </si>
  <si>
    <t>R</t>
  </si>
  <si>
    <t>Vasu</t>
  </si>
  <si>
    <t>R             Vasu</t>
  </si>
  <si>
    <t>Sanjay GuptA</t>
  </si>
  <si>
    <t>Sanjay</t>
  </si>
  <si>
    <t>GuptA</t>
  </si>
  <si>
    <t>Sanjay Roy</t>
  </si>
  <si>
    <t>Sanjay Gupta</t>
  </si>
  <si>
    <t>Sanjay                  GuptA</t>
  </si>
  <si>
    <t>Jharna Biswal</t>
  </si>
  <si>
    <t>Jharna</t>
  </si>
  <si>
    <t>Biswal</t>
  </si>
  <si>
    <t>Jharna                    Biswal</t>
  </si>
  <si>
    <t>Prakash Dutta</t>
  </si>
  <si>
    <t>Prakash</t>
  </si>
  <si>
    <t>Dutta</t>
  </si>
  <si>
    <t>Prakash                    Dutta</t>
  </si>
  <si>
    <t>Manisha Guha</t>
  </si>
  <si>
    <t>Manisha</t>
  </si>
  <si>
    <t>Guha</t>
  </si>
  <si>
    <t>Manisha                   Guha</t>
  </si>
  <si>
    <t>Arjun JAiN</t>
  </si>
  <si>
    <t>Arjun</t>
  </si>
  <si>
    <t>JAiN</t>
  </si>
  <si>
    <t>Arjun Jain</t>
  </si>
  <si>
    <t>Arjun             JAiN</t>
  </si>
  <si>
    <t>Arjun Kapoor</t>
  </si>
  <si>
    <t>Kapoor</t>
  </si>
  <si>
    <t>Arjun                        Kapoor</t>
  </si>
  <si>
    <t>Q-1</t>
  </si>
  <si>
    <t>Transpose A Column data in Horizontal Format</t>
  </si>
  <si>
    <t>Q-2</t>
  </si>
  <si>
    <t>Priya Sharma</t>
  </si>
  <si>
    <t>Arjun Reddy</t>
  </si>
  <si>
    <t>JP Kum</t>
  </si>
  <si>
    <t>Qtr-1</t>
  </si>
  <si>
    <t>Qtr-2</t>
  </si>
  <si>
    <t>Region</t>
  </si>
  <si>
    <t>Sales Data</t>
  </si>
  <si>
    <t>North</t>
  </si>
  <si>
    <t>East</t>
  </si>
  <si>
    <t>South</t>
  </si>
  <si>
    <t>West</t>
  </si>
  <si>
    <t>Central</t>
  </si>
  <si>
    <t>Nort-East</t>
  </si>
  <si>
    <t>South_west</t>
  </si>
  <si>
    <t>SKIP BLANKS</t>
  </si>
  <si>
    <t>Transpose 14 Row  data in Vertical Format</t>
  </si>
  <si>
    <t>Data</t>
  </si>
  <si>
    <t>Add</t>
  </si>
  <si>
    <t>Substract</t>
  </si>
  <si>
    <t>Multiply</t>
  </si>
  <si>
    <t>Divide</t>
  </si>
  <si>
    <t>Value</t>
  </si>
  <si>
    <t>PASTE SPECIAL - ALT+CTRL +V</t>
  </si>
  <si>
    <t>PASTE LINK</t>
  </si>
  <si>
    <t>PASTE SPECIAL</t>
  </si>
  <si>
    <t>ADD,SUBSTRACT,MULTIPLY AND DIVIDE</t>
  </si>
  <si>
    <t>LOCK - FN + F4</t>
  </si>
  <si>
    <t>INT</t>
  </si>
  <si>
    <t>Round</t>
  </si>
  <si>
    <t>Roundup</t>
  </si>
  <si>
    <t>Rounddown</t>
  </si>
  <si>
    <t>Power</t>
  </si>
  <si>
    <t>Power Function</t>
  </si>
  <si>
    <t>^</t>
  </si>
  <si>
    <t>Roman</t>
  </si>
  <si>
    <t>Arabic</t>
  </si>
  <si>
    <t>REPT</t>
  </si>
  <si>
    <t>*</t>
  </si>
  <si>
    <t>SQRT</t>
  </si>
  <si>
    <t>ABS</t>
  </si>
  <si>
    <t>IV</t>
  </si>
  <si>
    <t>VI</t>
  </si>
  <si>
    <t>II</t>
  </si>
  <si>
    <t>VIII</t>
  </si>
  <si>
    <t>V</t>
  </si>
  <si>
    <t>IX</t>
  </si>
  <si>
    <t>VII</t>
  </si>
  <si>
    <t>MICROSOFT EXCEL</t>
  </si>
  <si>
    <t>1. INTRODUCTION</t>
  </si>
  <si>
    <t>2. BASIC FUNCTIONS (text,date&amp;time,aggerate…)</t>
  </si>
  <si>
    <t>8. LOOKUPS</t>
  </si>
  <si>
    <t>7. GOAL SEEK AND SOLVER</t>
  </si>
  <si>
    <t>6. DATA VALIDATION</t>
  </si>
  <si>
    <t>5. CONDITIONAL FORMATTING</t>
  </si>
  <si>
    <t>4. FINANCIAL FUNCTIONS(OPTIONAL)</t>
  </si>
  <si>
    <t>3. SORTING AND FILTERING</t>
  </si>
  <si>
    <t>9. PIVOT TABLE AND POWER PIVOT</t>
  </si>
  <si>
    <t>10. VISUALIZATION AND DASHBOARD</t>
  </si>
  <si>
    <t>11. MACROS AND VBA(Basics)</t>
  </si>
  <si>
    <t>12. PASSWORDS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</si>
</sst>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quotePrefix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BBC6-9A68-4BF4-B4DC-3F35FC38FE4B}">
  <dimension ref="A1:A13"/>
  <sheetViews>
    <sheetView workbookViewId="0">
      <selection activeCell="A18" sqref="A18"/>
    </sheetView>
  </sheetViews>
  <sheetFormatPr defaultRowHeight="14.5" x14ac:dyDescent="0.35"/>
  <cols>
    <col min="1" max="1" width="41.6328125" bestFit="1" customWidth="1"/>
  </cols>
  <sheetData>
    <row r="1" spans="1:1" ht="26" x14ac:dyDescent="0.6">
      <c r="A1" s="10" t="s">
        <v>168</v>
      </c>
    </row>
    <row r="2" spans="1:1" x14ac:dyDescent="0.35">
      <c r="A2" t="s">
        <v>169</v>
      </c>
    </row>
    <row r="3" spans="1:1" x14ac:dyDescent="0.35">
      <c r="A3" t="s">
        <v>170</v>
      </c>
    </row>
    <row r="4" spans="1:1" x14ac:dyDescent="0.35">
      <c r="A4" t="s">
        <v>176</v>
      </c>
    </row>
    <row r="5" spans="1:1" x14ac:dyDescent="0.35">
      <c r="A5" t="s">
        <v>175</v>
      </c>
    </row>
    <row r="6" spans="1:1" x14ac:dyDescent="0.35">
      <c r="A6" t="s">
        <v>174</v>
      </c>
    </row>
    <row r="7" spans="1:1" x14ac:dyDescent="0.35">
      <c r="A7" t="s">
        <v>173</v>
      </c>
    </row>
    <row r="8" spans="1:1" x14ac:dyDescent="0.35">
      <c r="A8" t="s">
        <v>172</v>
      </c>
    </row>
    <row r="9" spans="1:1" x14ac:dyDescent="0.35">
      <c r="A9" t="s">
        <v>171</v>
      </c>
    </row>
    <row r="10" spans="1:1" x14ac:dyDescent="0.35">
      <c r="A10" t="s">
        <v>177</v>
      </c>
    </row>
    <row r="11" spans="1:1" x14ac:dyDescent="0.35">
      <c r="A11" t="s">
        <v>178</v>
      </c>
    </row>
    <row r="12" spans="1:1" x14ac:dyDescent="0.35">
      <c r="A12" t="s">
        <v>179</v>
      </c>
    </row>
    <row r="13" spans="1:1" x14ac:dyDescent="0.35">
      <c r="A13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86EF-322A-48AB-B6E0-3446FA3D66BE}">
  <dimension ref="A1:B11"/>
  <sheetViews>
    <sheetView workbookViewId="0">
      <selection activeCell="C1" sqref="C1"/>
    </sheetView>
  </sheetViews>
  <sheetFormatPr defaultRowHeight="14.5" x14ac:dyDescent="0.35"/>
  <cols>
    <col min="1" max="1" width="16.453125" bestFit="1" customWidth="1"/>
    <col min="2" max="2" width="10.36328125" bestFit="1" customWidth="1"/>
  </cols>
  <sheetData>
    <row r="1" spans="1:2" ht="23.5" x14ac:dyDescent="0.55000000000000004">
      <c r="A1" s="11" t="s">
        <v>12</v>
      </c>
      <c r="B1" s="6"/>
    </row>
    <row r="2" spans="1:2" x14ac:dyDescent="0.35">
      <c r="A2" s="1" t="s">
        <v>13</v>
      </c>
      <c r="B2" s="1">
        <v>1982</v>
      </c>
    </row>
    <row r="3" spans="1:2" x14ac:dyDescent="0.35">
      <c r="A3" s="1" t="s">
        <v>14</v>
      </c>
      <c r="B3" s="1">
        <v>1985</v>
      </c>
    </row>
    <row r="4" spans="1:2" x14ac:dyDescent="0.35">
      <c r="A4" s="1" t="s">
        <v>15</v>
      </c>
      <c r="B4" s="1">
        <v>1987</v>
      </c>
    </row>
    <row r="5" spans="1:2" x14ac:dyDescent="0.35">
      <c r="A5" s="1" t="s">
        <v>16</v>
      </c>
      <c r="B5" s="1" t="s">
        <v>17</v>
      </c>
    </row>
    <row r="6" spans="1:2" x14ac:dyDescent="0.35">
      <c r="A6" s="1" t="s">
        <v>18</v>
      </c>
      <c r="B6" s="1">
        <v>1995</v>
      </c>
    </row>
    <row r="7" spans="1:2" x14ac:dyDescent="0.35">
      <c r="A7" s="1" t="s">
        <v>19</v>
      </c>
      <c r="B7" s="1">
        <v>2003</v>
      </c>
    </row>
    <row r="8" spans="1:2" x14ac:dyDescent="0.35">
      <c r="A8" s="1" t="s">
        <v>20</v>
      </c>
      <c r="B8" s="1">
        <v>2007</v>
      </c>
    </row>
    <row r="9" spans="1:2" x14ac:dyDescent="0.35">
      <c r="A9" s="1" t="s">
        <v>21</v>
      </c>
      <c r="B9" s="1" t="s">
        <v>22</v>
      </c>
    </row>
    <row r="10" spans="1:2" x14ac:dyDescent="0.35">
      <c r="A10" s="1" t="s">
        <v>23</v>
      </c>
      <c r="B10" s="1">
        <v>2019</v>
      </c>
    </row>
    <row r="11" spans="1:2" x14ac:dyDescent="0.35">
      <c r="A11" s="1" t="s">
        <v>24</v>
      </c>
      <c r="B11" s="1" t="s">
        <v>25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C85F-E470-47AB-BD8E-166A204B993C}">
  <dimension ref="A1:G3"/>
  <sheetViews>
    <sheetView workbookViewId="0">
      <selection activeCell="D4" sqref="D4"/>
    </sheetView>
  </sheetViews>
  <sheetFormatPr defaultRowHeight="14.5" x14ac:dyDescent="0.35"/>
  <cols>
    <col min="1" max="1" width="11.7265625" bestFit="1" customWidth="1"/>
    <col min="2" max="2" width="7.6328125" bestFit="1" customWidth="1"/>
    <col min="3" max="3" width="10.08984375" bestFit="1" customWidth="1"/>
    <col min="4" max="4" width="11.90625" bestFit="1" customWidth="1"/>
    <col min="5" max="5" width="15.6328125" bestFit="1" customWidth="1"/>
    <col min="6" max="7" width="12.6328125" bestFit="1" customWidth="1"/>
  </cols>
  <sheetData>
    <row r="1" spans="1:7" ht="29" customHeight="1" x14ac:dyDescent="0.6">
      <c r="A1" s="7" t="s">
        <v>11</v>
      </c>
      <c r="B1" s="8"/>
      <c r="C1" s="8"/>
      <c r="D1" s="8"/>
      <c r="E1" s="8"/>
      <c r="F1" s="8"/>
      <c r="G1" s="8"/>
    </row>
    <row r="2" spans="1:7" x14ac:dyDescent="0.35">
      <c r="A2" s="12" t="s">
        <v>0</v>
      </c>
      <c r="B2" s="12"/>
      <c r="C2" s="12" t="s">
        <v>1</v>
      </c>
      <c r="D2" s="12"/>
      <c r="E2" s="13" t="s">
        <v>2</v>
      </c>
      <c r="F2" s="12" t="s">
        <v>3</v>
      </c>
      <c r="G2" s="12"/>
    </row>
    <row r="3" spans="1:7" x14ac:dyDescent="0.35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</row>
  </sheetData>
  <mergeCells count="4">
    <mergeCell ref="A1:G1"/>
    <mergeCell ref="A2:B2"/>
    <mergeCell ref="C2:D2"/>
    <mergeCell ref="F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9CF1-FB15-41D6-A4CA-4611C72E9761}">
  <dimension ref="A1:B38"/>
  <sheetViews>
    <sheetView workbookViewId="0">
      <selection activeCell="D10" sqref="D10"/>
    </sheetView>
  </sheetViews>
  <sheetFormatPr defaultRowHeight="14.5" x14ac:dyDescent="0.35"/>
  <cols>
    <col min="1" max="1" width="5.453125" customWidth="1"/>
    <col min="2" max="2" width="62.81640625" bestFit="1" customWidth="1"/>
  </cols>
  <sheetData>
    <row r="1" spans="1:2" x14ac:dyDescent="0.35">
      <c r="A1">
        <v>1</v>
      </c>
      <c r="B1" t="s">
        <v>26</v>
      </c>
    </row>
    <row r="2" spans="1:2" x14ac:dyDescent="0.35">
      <c r="A2">
        <v>2</v>
      </c>
      <c r="B2" t="s">
        <v>27</v>
      </c>
    </row>
    <row r="3" spans="1:2" x14ac:dyDescent="0.35">
      <c r="A3">
        <v>3</v>
      </c>
      <c r="B3" t="s">
        <v>28</v>
      </c>
    </row>
    <row r="4" spans="1:2" x14ac:dyDescent="0.35">
      <c r="A4">
        <v>4</v>
      </c>
      <c r="B4" t="s">
        <v>29</v>
      </c>
    </row>
    <row r="5" spans="1:2" x14ac:dyDescent="0.35">
      <c r="A5">
        <v>5</v>
      </c>
      <c r="B5" t="s">
        <v>30</v>
      </c>
    </row>
    <row r="6" spans="1:2" x14ac:dyDescent="0.35">
      <c r="A6">
        <v>6</v>
      </c>
      <c r="B6" t="s">
        <v>31</v>
      </c>
    </row>
    <row r="7" spans="1:2" x14ac:dyDescent="0.35">
      <c r="A7">
        <v>7</v>
      </c>
      <c r="B7" t="s">
        <v>32</v>
      </c>
    </row>
    <row r="8" spans="1:2" x14ac:dyDescent="0.35">
      <c r="A8">
        <v>8</v>
      </c>
      <c r="B8" t="s">
        <v>33</v>
      </c>
    </row>
    <row r="9" spans="1:2" x14ac:dyDescent="0.35">
      <c r="A9">
        <v>9</v>
      </c>
      <c r="B9" t="s">
        <v>34</v>
      </c>
    </row>
    <row r="10" spans="1:2" x14ac:dyDescent="0.35">
      <c r="A10">
        <v>10</v>
      </c>
      <c r="B10" t="s">
        <v>35</v>
      </c>
    </row>
    <row r="11" spans="1:2" x14ac:dyDescent="0.35">
      <c r="A11">
        <v>11</v>
      </c>
      <c r="B11" t="s">
        <v>36</v>
      </c>
    </row>
    <row r="12" spans="1:2" x14ac:dyDescent="0.35">
      <c r="A12">
        <v>12</v>
      </c>
      <c r="B12" t="s">
        <v>37</v>
      </c>
    </row>
    <row r="13" spans="1:2" x14ac:dyDescent="0.35">
      <c r="A13">
        <v>13</v>
      </c>
      <c r="B13" t="s">
        <v>38</v>
      </c>
    </row>
    <row r="14" spans="1:2" x14ac:dyDescent="0.35">
      <c r="A14">
        <v>14</v>
      </c>
      <c r="B14" t="s">
        <v>39</v>
      </c>
    </row>
    <row r="15" spans="1:2" x14ac:dyDescent="0.35">
      <c r="A15">
        <v>15</v>
      </c>
      <c r="B15" t="s">
        <v>40</v>
      </c>
    </row>
    <row r="16" spans="1:2" x14ac:dyDescent="0.35">
      <c r="A16">
        <v>16</v>
      </c>
      <c r="B16" t="s">
        <v>41</v>
      </c>
    </row>
    <row r="17" spans="1:2" x14ac:dyDescent="0.35">
      <c r="A17">
        <v>17</v>
      </c>
      <c r="B17" t="s">
        <v>42</v>
      </c>
    </row>
    <row r="18" spans="1:2" x14ac:dyDescent="0.35">
      <c r="A18">
        <v>18</v>
      </c>
      <c r="B18" t="s">
        <v>43</v>
      </c>
    </row>
    <row r="19" spans="1:2" x14ac:dyDescent="0.35">
      <c r="A19">
        <v>19</v>
      </c>
      <c r="B19" t="s">
        <v>44</v>
      </c>
    </row>
    <row r="20" spans="1:2" x14ac:dyDescent="0.35">
      <c r="A20">
        <v>20</v>
      </c>
      <c r="B20" t="s">
        <v>45</v>
      </c>
    </row>
    <row r="21" spans="1:2" x14ac:dyDescent="0.35">
      <c r="A21">
        <v>21</v>
      </c>
      <c r="B21" t="s">
        <v>46</v>
      </c>
    </row>
    <row r="22" spans="1:2" x14ac:dyDescent="0.35">
      <c r="A22">
        <v>22</v>
      </c>
      <c r="B22" t="s">
        <v>47</v>
      </c>
    </row>
    <row r="23" spans="1:2" x14ac:dyDescent="0.35">
      <c r="A23">
        <v>23</v>
      </c>
      <c r="B23" t="s">
        <v>48</v>
      </c>
    </row>
    <row r="24" spans="1:2" x14ac:dyDescent="0.35">
      <c r="A24">
        <v>24</v>
      </c>
      <c r="B24" t="s">
        <v>49</v>
      </c>
    </row>
    <row r="25" spans="1:2" x14ac:dyDescent="0.35">
      <c r="A25">
        <v>25</v>
      </c>
      <c r="B25" t="s">
        <v>50</v>
      </c>
    </row>
    <row r="26" spans="1:2" x14ac:dyDescent="0.35">
      <c r="A26">
        <v>26</v>
      </c>
      <c r="B26" t="s">
        <v>51</v>
      </c>
    </row>
    <row r="27" spans="1:2" x14ac:dyDescent="0.35">
      <c r="A27">
        <v>27</v>
      </c>
      <c r="B27" t="s">
        <v>52</v>
      </c>
    </row>
    <row r="28" spans="1:2" x14ac:dyDescent="0.35">
      <c r="A28">
        <v>28</v>
      </c>
      <c r="B28" t="s">
        <v>53</v>
      </c>
    </row>
    <row r="29" spans="1:2" x14ac:dyDescent="0.35">
      <c r="A29">
        <v>29</v>
      </c>
      <c r="B29" t="s">
        <v>54</v>
      </c>
    </row>
    <row r="31" spans="1:2" x14ac:dyDescent="0.35">
      <c r="B31" s="2"/>
    </row>
    <row r="32" spans="1:2" x14ac:dyDescent="0.35">
      <c r="B32" s="2"/>
    </row>
    <row r="37" spans="2:2" x14ac:dyDescent="0.35">
      <c r="B37" s="3"/>
    </row>
    <row r="38" spans="2:2" x14ac:dyDescent="0.35">
      <c r="B3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14B3-E17D-488F-9E7D-C8D8688E0C2F}">
  <dimension ref="A1:W11"/>
  <sheetViews>
    <sheetView topLeftCell="C1" workbookViewId="0">
      <selection activeCell="Q7" sqref="Q7"/>
    </sheetView>
  </sheetViews>
  <sheetFormatPr defaultColWidth="18.453125" defaultRowHeight="14.5" x14ac:dyDescent="0.35"/>
  <cols>
    <col min="2" max="2" width="15.81640625" customWidth="1"/>
    <col min="3" max="3" width="17.08984375" customWidth="1"/>
    <col min="20" max="20" width="22.54296875" bestFit="1" customWidth="1"/>
  </cols>
  <sheetData>
    <row r="1" spans="1:23" x14ac:dyDescent="0.35">
      <c r="A1" s="5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s="5" t="s">
        <v>63</v>
      </c>
      <c r="J1" s="5" t="s">
        <v>64</v>
      </c>
      <c r="K1" s="5" t="s">
        <v>65</v>
      </c>
      <c r="L1" s="5" t="s">
        <v>55</v>
      </c>
      <c r="M1" s="5" t="s">
        <v>55</v>
      </c>
      <c r="N1" s="5" t="s">
        <v>66</v>
      </c>
      <c r="O1" s="5" t="s">
        <v>67</v>
      </c>
      <c r="P1" s="5" t="s">
        <v>68</v>
      </c>
      <c r="Q1" s="5" t="s">
        <v>69</v>
      </c>
      <c r="R1" s="5" t="s">
        <v>70</v>
      </c>
      <c r="S1" s="5" t="s">
        <v>71</v>
      </c>
      <c r="T1" s="5" t="s">
        <v>55</v>
      </c>
      <c r="U1" s="5" t="s">
        <v>72</v>
      </c>
      <c r="V1" s="5" t="s">
        <v>63</v>
      </c>
      <c r="W1" s="5" t="s">
        <v>64</v>
      </c>
    </row>
    <row r="2" spans="1:23" x14ac:dyDescent="0.35">
      <c r="A2" t="s">
        <v>73</v>
      </c>
      <c r="B2" t="str">
        <f>UPPER(A2)</f>
        <v>JP KUMAR</v>
      </c>
      <c r="C2" t="str">
        <f>LOWER(A2)</f>
        <v>jp kumar</v>
      </c>
      <c r="D2" t="str">
        <f>PROPER(A2)</f>
        <v>Jp Kumar</v>
      </c>
      <c r="E2">
        <f>LEN(A2)</f>
        <v>8</v>
      </c>
      <c r="F2" t="str">
        <f>LEFT(A2,2)</f>
        <v>JP</v>
      </c>
      <c r="G2" t="str">
        <f>RIGHT(A2,3)</f>
        <v>mar</v>
      </c>
      <c r="H2" t="str">
        <f>MID(A2,2,3)</f>
        <v>P K</v>
      </c>
      <c r="I2" t="s">
        <v>74</v>
      </c>
      <c r="J2" t="s">
        <v>75</v>
      </c>
      <c r="K2" t="str">
        <f>I2&amp; " " &amp;J2</f>
        <v>JP Kumar</v>
      </c>
      <c r="L2" t="s">
        <v>73</v>
      </c>
      <c r="M2" t="s">
        <v>76</v>
      </c>
      <c r="N2" t="b">
        <f>EXACT(L2,M2)</f>
        <v>0</v>
      </c>
      <c r="O2" t="b">
        <f>L2=M2</f>
        <v>1</v>
      </c>
      <c r="P2">
        <f>FIND("a",A2)</f>
        <v>7</v>
      </c>
      <c r="Q2">
        <f>SEARCH("a",M2)</f>
        <v>7</v>
      </c>
      <c r="R2" t="str">
        <f>REPLACE(M2,7,1,"@")</f>
        <v>Jp Kum@r</v>
      </c>
      <c r="S2" t="str">
        <f>SUBSTITUTE(M2,"a","@",1)</f>
        <v>Jp Kum@r</v>
      </c>
      <c r="T2" t="s">
        <v>77</v>
      </c>
      <c r="U2" t="str">
        <f>TRIM(T2)</f>
        <v>JP Kumar</v>
      </c>
      <c r="V2" t="str">
        <f>LEFT(A2,FIND(" ",A2))</f>
        <v xml:space="preserve">JP </v>
      </c>
      <c r="W2" t="str">
        <f>RIGHT(U2,LEN(U2)-FIND(" ",U2))</f>
        <v>Kumar</v>
      </c>
    </row>
    <row r="3" spans="1:23" x14ac:dyDescent="0.35">
      <c r="A3" t="s">
        <v>78</v>
      </c>
      <c r="B3" t="str">
        <f t="shared" ref="B3:B11" si="0">UPPER(A3)</f>
        <v>ANJALI THAKUR</v>
      </c>
      <c r="C3" t="str">
        <f t="shared" ref="C3:C11" si="1">LOWER(A3)</f>
        <v>anjali thakur</v>
      </c>
      <c r="D3" t="str">
        <f t="shared" ref="D3:D11" si="2">PROPER(A3)</f>
        <v>Anjali Thakur</v>
      </c>
      <c r="E3">
        <f t="shared" ref="E3:E11" si="3">LEN(A3)</f>
        <v>13</v>
      </c>
      <c r="F3" t="str">
        <f t="shared" ref="F3:F11" si="4">LEFT(A3,2)</f>
        <v>An</v>
      </c>
      <c r="G3" t="str">
        <f t="shared" ref="G3:G11" si="5">RIGHT(A3,3)</f>
        <v>kur</v>
      </c>
      <c r="H3" t="str">
        <f t="shared" ref="H3:H11" si="6">MID(A3,2,3)</f>
        <v>nja</v>
      </c>
      <c r="I3" t="s">
        <v>79</v>
      </c>
      <c r="J3" t="s">
        <v>80</v>
      </c>
      <c r="K3" t="str">
        <f t="shared" ref="K3:K11" si="7">I3&amp; " " &amp;J3</f>
        <v>Anjali THakur</v>
      </c>
      <c r="L3" t="s">
        <v>78</v>
      </c>
      <c r="M3" t="s">
        <v>81</v>
      </c>
      <c r="N3" t="b">
        <f t="shared" ref="N3:N11" si="8">EXACT(L3,M3)</f>
        <v>0</v>
      </c>
      <c r="O3" t="b">
        <f t="shared" ref="O3:O11" si="9">L3=M3</f>
        <v>1</v>
      </c>
      <c r="P3">
        <f t="shared" ref="P3:P11" si="10">FIND("a",A3)</f>
        <v>4</v>
      </c>
      <c r="Q3">
        <f t="shared" ref="Q3:Q11" si="11">SEARCH("a",M3)</f>
        <v>1</v>
      </c>
      <c r="R3" t="str">
        <f t="shared" ref="R3:R11" si="12">REPLACE(M3,7,1,"@")</f>
        <v>Anjali@Thakur</v>
      </c>
      <c r="S3" t="str">
        <f t="shared" ref="S3:S11" si="13">SUBSTITUTE(M3,"a","@",1)</f>
        <v>Anj@li Thakur</v>
      </c>
      <c r="T3" t="s">
        <v>82</v>
      </c>
      <c r="U3" t="str">
        <f t="shared" ref="U3:U11" si="14">TRIM(T3)</f>
        <v>Anjali THakur</v>
      </c>
      <c r="V3" t="str">
        <f t="shared" ref="V3:V11" si="15">LEFT(A3,FIND(" ",A3))</f>
        <v xml:space="preserve">Anjali </v>
      </c>
      <c r="W3" t="str">
        <f t="shared" ref="W3:W11" si="16">RIGHT(U3,LEN(U3)-FIND(" ",U3))</f>
        <v>THakur</v>
      </c>
    </row>
    <row r="4" spans="1:23" x14ac:dyDescent="0.35">
      <c r="A4" t="s">
        <v>83</v>
      </c>
      <c r="B4" t="str">
        <f t="shared" si="0"/>
        <v>PRIYA AGARWAL</v>
      </c>
      <c r="C4" t="str">
        <f t="shared" si="1"/>
        <v>priya agarwal</v>
      </c>
      <c r="D4" t="str">
        <f t="shared" si="2"/>
        <v>Priya Agarwal</v>
      </c>
      <c r="E4">
        <f t="shared" si="3"/>
        <v>13</v>
      </c>
      <c r="F4" t="str">
        <f t="shared" si="4"/>
        <v>Pr</v>
      </c>
      <c r="G4" t="str">
        <f t="shared" si="5"/>
        <v>waL</v>
      </c>
      <c r="H4" t="str">
        <f t="shared" si="6"/>
        <v>riy</v>
      </c>
      <c r="I4" t="s">
        <v>84</v>
      </c>
      <c r="J4" t="s">
        <v>85</v>
      </c>
      <c r="K4" t="str">
        <f t="shared" si="7"/>
        <v>Priya AgarwaL</v>
      </c>
      <c r="L4" t="s">
        <v>83</v>
      </c>
      <c r="M4" t="s">
        <v>86</v>
      </c>
      <c r="N4" t="b">
        <f t="shared" si="8"/>
        <v>0</v>
      </c>
      <c r="O4" t="b">
        <f t="shared" si="9"/>
        <v>1</v>
      </c>
      <c r="P4">
        <f t="shared" si="10"/>
        <v>5</v>
      </c>
      <c r="Q4">
        <f t="shared" si="11"/>
        <v>5</v>
      </c>
      <c r="R4" t="str">
        <f t="shared" si="12"/>
        <v>Priya @garwal</v>
      </c>
      <c r="S4" t="str">
        <f t="shared" si="13"/>
        <v>Priy@ Agarwal</v>
      </c>
      <c r="T4" t="s">
        <v>87</v>
      </c>
      <c r="U4" t="str">
        <f t="shared" si="14"/>
        <v>Priya AgarwaL</v>
      </c>
      <c r="V4" t="str">
        <f t="shared" si="15"/>
        <v xml:space="preserve">Priya </v>
      </c>
      <c r="W4" t="str">
        <f t="shared" si="16"/>
        <v>AgarwaL</v>
      </c>
    </row>
    <row r="5" spans="1:23" x14ac:dyDescent="0.35">
      <c r="A5" t="s">
        <v>88</v>
      </c>
      <c r="B5" t="str">
        <f t="shared" si="0"/>
        <v>R VASU</v>
      </c>
      <c r="C5" t="str">
        <f t="shared" si="1"/>
        <v>r vasu</v>
      </c>
      <c r="D5" t="str">
        <f t="shared" si="2"/>
        <v>R Vasu</v>
      </c>
      <c r="E5">
        <f t="shared" si="3"/>
        <v>6</v>
      </c>
      <c r="F5" t="str">
        <f t="shared" si="4"/>
        <v xml:space="preserve">R </v>
      </c>
      <c r="G5" t="str">
        <f t="shared" si="5"/>
        <v>asu</v>
      </c>
      <c r="H5" t="str">
        <f t="shared" si="6"/>
        <v xml:space="preserve"> Va</v>
      </c>
      <c r="I5" t="s">
        <v>89</v>
      </c>
      <c r="J5" t="s">
        <v>90</v>
      </c>
      <c r="K5" t="str">
        <f t="shared" si="7"/>
        <v>R Vasu</v>
      </c>
      <c r="L5" t="s">
        <v>88</v>
      </c>
      <c r="M5" t="s">
        <v>88</v>
      </c>
      <c r="N5" t="b">
        <f t="shared" si="8"/>
        <v>1</v>
      </c>
      <c r="O5" t="b">
        <f t="shared" si="9"/>
        <v>1</v>
      </c>
      <c r="P5">
        <f t="shared" si="10"/>
        <v>4</v>
      </c>
      <c r="Q5">
        <f t="shared" si="11"/>
        <v>4</v>
      </c>
      <c r="R5" t="str">
        <f t="shared" si="12"/>
        <v>R Vasu@</v>
      </c>
      <c r="S5" t="str">
        <f t="shared" si="13"/>
        <v>R V@su</v>
      </c>
      <c r="T5" t="s">
        <v>91</v>
      </c>
      <c r="U5" t="str">
        <f t="shared" si="14"/>
        <v>R Vasu</v>
      </c>
      <c r="V5" t="str">
        <f t="shared" si="15"/>
        <v xml:space="preserve">R </v>
      </c>
      <c r="W5" t="str">
        <f t="shared" si="16"/>
        <v>Vasu</v>
      </c>
    </row>
    <row r="6" spans="1:23" x14ac:dyDescent="0.35">
      <c r="A6" t="s">
        <v>92</v>
      </c>
      <c r="B6" t="str">
        <f t="shared" si="0"/>
        <v>SANJAY GUPTA</v>
      </c>
      <c r="C6" t="str">
        <f t="shared" si="1"/>
        <v>sanjay gupta</v>
      </c>
      <c r="D6" t="str">
        <f t="shared" si="2"/>
        <v>Sanjay Gupta</v>
      </c>
      <c r="E6">
        <f t="shared" si="3"/>
        <v>12</v>
      </c>
      <c r="F6" t="str">
        <f t="shared" si="4"/>
        <v>Sa</v>
      </c>
      <c r="G6" t="str">
        <f t="shared" si="5"/>
        <v>ptA</v>
      </c>
      <c r="H6" t="str">
        <f t="shared" si="6"/>
        <v>anj</v>
      </c>
      <c r="I6" t="s">
        <v>93</v>
      </c>
      <c r="J6" t="s">
        <v>94</v>
      </c>
      <c r="K6" t="str">
        <f t="shared" si="7"/>
        <v>Sanjay GuptA</v>
      </c>
      <c r="L6" t="s">
        <v>95</v>
      </c>
      <c r="M6" t="s">
        <v>96</v>
      </c>
      <c r="N6" t="b">
        <f t="shared" si="8"/>
        <v>0</v>
      </c>
      <c r="O6" t="b">
        <f t="shared" si="9"/>
        <v>0</v>
      </c>
      <c r="P6">
        <f t="shared" si="10"/>
        <v>2</v>
      </c>
      <c r="Q6">
        <f t="shared" si="11"/>
        <v>2</v>
      </c>
      <c r="R6" t="str">
        <f t="shared" si="12"/>
        <v>Sanjay@Gupta</v>
      </c>
      <c r="S6" t="str">
        <f t="shared" si="13"/>
        <v>S@njay Gupta</v>
      </c>
      <c r="T6" t="s">
        <v>97</v>
      </c>
      <c r="U6" t="str">
        <f t="shared" si="14"/>
        <v>Sanjay GuptA</v>
      </c>
      <c r="V6" t="str">
        <f t="shared" si="15"/>
        <v xml:space="preserve">Sanjay </v>
      </c>
      <c r="W6" t="str">
        <f t="shared" si="16"/>
        <v>GuptA</v>
      </c>
    </row>
    <row r="7" spans="1:23" x14ac:dyDescent="0.35">
      <c r="A7" t="s">
        <v>98</v>
      </c>
      <c r="B7" t="str">
        <f t="shared" si="0"/>
        <v>JHARNA BISWAL</v>
      </c>
      <c r="C7" t="str">
        <f t="shared" si="1"/>
        <v>jharna biswal</v>
      </c>
      <c r="D7" t="str">
        <f t="shared" si="2"/>
        <v>Jharna Biswal</v>
      </c>
      <c r="E7">
        <f t="shared" si="3"/>
        <v>13</v>
      </c>
      <c r="F7" t="str">
        <f t="shared" si="4"/>
        <v>Jh</v>
      </c>
      <c r="G7" t="str">
        <f t="shared" si="5"/>
        <v>wal</v>
      </c>
      <c r="H7" t="str">
        <f t="shared" si="6"/>
        <v>har</v>
      </c>
      <c r="I7" t="s">
        <v>99</v>
      </c>
      <c r="J7" t="s">
        <v>100</v>
      </c>
      <c r="K7" t="str">
        <f t="shared" si="7"/>
        <v>Jharna Biswal</v>
      </c>
      <c r="L7" t="s">
        <v>98</v>
      </c>
      <c r="M7" t="s">
        <v>98</v>
      </c>
      <c r="N7" t="b">
        <f t="shared" si="8"/>
        <v>1</v>
      </c>
      <c r="O7" t="b">
        <f t="shared" si="9"/>
        <v>1</v>
      </c>
      <c r="P7">
        <f t="shared" si="10"/>
        <v>3</v>
      </c>
      <c r="Q7">
        <f t="shared" si="11"/>
        <v>3</v>
      </c>
      <c r="R7" t="str">
        <f t="shared" si="12"/>
        <v>Jharna@Biswal</v>
      </c>
      <c r="S7" t="str">
        <f t="shared" si="13"/>
        <v>Jh@rna Biswal</v>
      </c>
      <c r="T7" t="s">
        <v>101</v>
      </c>
      <c r="U7" t="str">
        <f t="shared" si="14"/>
        <v>Jharna Biswal</v>
      </c>
      <c r="V7" t="str">
        <f t="shared" si="15"/>
        <v xml:space="preserve">Jharna </v>
      </c>
      <c r="W7" t="str">
        <f t="shared" si="16"/>
        <v>Biswal</v>
      </c>
    </row>
    <row r="8" spans="1:23" x14ac:dyDescent="0.35">
      <c r="A8" t="s">
        <v>102</v>
      </c>
      <c r="B8" t="str">
        <f t="shared" si="0"/>
        <v>PRAKASH DUTTA</v>
      </c>
      <c r="C8" t="str">
        <f t="shared" si="1"/>
        <v>prakash dutta</v>
      </c>
      <c r="D8" t="str">
        <f t="shared" si="2"/>
        <v>Prakash Dutta</v>
      </c>
      <c r="E8">
        <f t="shared" si="3"/>
        <v>13</v>
      </c>
      <c r="F8" t="str">
        <f t="shared" si="4"/>
        <v>Pr</v>
      </c>
      <c r="G8" t="str">
        <f t="shared" si="5"/>
        <v>tta</v>
      </c>
      <c r="H8" t="str">
        <f t="shared" si="6"/>
        <v>rak</v>
      </c>
      <c r="I8" t="s">
        <v>103</v>
      </c>
      <c r="J8" t="s">
        <v>104</v>
      </c>
      <c r="K8" t="str">
        <f t="shared" si="7"/>
        <v>Prakash Dutta</v>
      </c>
      <c r="L8" t="s">
        <v>102</v>
      </c>
      <c r="M8" t="s">
        <v>102</v>
      </c>
      <c r="N8" t="b">
        <f t="shared" si="8"/>
        <v>1</v>
      </c>
      <c r="O8" t="b">
        <f t="shared" si="9"/>
        <v>1</v>
      </c>
      <c r="P8">
        <f t="shared" si="10"/>
        <v>3</v>
      </c>
      <c r="Q8">
        <f t="shared" si="11"/>
        <v>3</v>
      </c>
      <c r="R8" t="str">
        <f t="shared" si="12"/>
        <v>Prakas@ Dutta</v>
      </c>
      <c r="S8" t="str">
        <f t="shared" si="13"/>
        <v>Pr@kash Dutta</v>
      </c>
      <c r="T8" t="s">
        <v>105</v>
      </c>
      <c r="U8" t="str">
        <f t="shared" si="14"/>
        <v>Prakash Dutta</v>
      </c>
      <c r="V8" t="str">
        <f t="shared" si="15"/>
        <v xml:space="preserve">Prakash </v>
      </c>
      <c r="W8" t="str">
        <f t="shared" si="16"/>
        <v>Dutta</v>
      </c>
    </row>
    <row r="9" spans="1:23" x14ac:dyDescent="0.35">
      <c r="A9" t="s">
        <v>106</v>
      </c>
      <c r="B9" t="str">
        <f t="shared" si="0"/>
        <v>MANISHA GUHA</v>
      </c>
      <c r="C9" t="str">
        <f t="shared" si="1"/>
        <v>manisha guha</v>
      </c>
      <c r="D9" t="str">
        <f t="shared" si="2"/>
        <v>Manisha Guha</v>
      </c>
      <c r="E9">
        <f t="shared" si="3"/>
        <v>12</v>
      </c>
      <c r="F9" t="str">
        <f t="shared" si="4"/>
        <v>Ma</v>
      </c>
      <c r="G9" t="str">
        <f t="shared" si="5"/>
        <v>uha</v>
      </c>
      <c r="H9" t="str">
        <f t="shared" si="6"/>
        <v>ani</v>
      </c>
      <c r="I9" t="s">
        <v>107</v>
      </c>
      <c r="J9" t="s">
        <v>108</v>
      </c>
      <c r="K9" t="str">
        <f t="shared" si="7"/>
        <v>Manisha Guha</v>
      </c>
      <c r="L9" t="s">
        <v>106</v>
      </c>
      <c r="M9" t="s">
        <v>106</v>
      </c>
      <c r="N9" t="b">
        <f t="shared" si="8"/>
        <v>1</v>
      </c>
      <c r="O9" t="b">
        <f t="shared" si="9"/>
        <v>1</v>
      </c>
      <c r="P9">
        <f t="shared" si="10"/>
        <v>2</v>
      </c>
      <c r="Q9">
        <f t="shared" si="11"/>
        <v>2</v>
      </c>
      <c r="R9" t="str">
        <f t="shared" si="12"/>
        <v>Manish@ Guha</v>
      </c>
      <c r="S9" t="str">
        <f t="shared" si="13"/>
        <v>M@nisha Guha</v>
      </c>
      <c r="T9" t="s">
        <v>109</v>
      </c>
      <c r="U9" t="str">
        <f t="shared" si="14"/>
        <v>Manisha Guha</v>
      </c>
      <c r="V9" t="str">
        <f t="shared" si="15"/>
        <v xml:space="preserve">Manisha </v>
      </c>
      <c r="W9" t="str">
        <f t="shared" si="16"/>
        <v>Guha</v>
      </c>
    </row>
    <row r="10" spans="1:23" x14ac:dyDescent="0.35">
      <c r="A10" t="s">
        <v>110</v>
      </c>
      <c r="B10" t="str">
        <f t="shared" si="0"/>
        <v>ARJUN JAIN</v>
      </c>
      <c r="C10" t="str">
        <f t="shared" si="1"/>
        <v>arjun jain</v>
      </c>
      <c r="D10" t="str">
        <f t="shared" si="2"/>
        <v>Arjun Jain</v>
      </c>
      <c r="E10">
        <f t="shared" si="3"/>
        <v>10</v>
      </c>
      <c r="F10" t="str">
        <f t="shared" si="4"/>
        <v>Ar</v>
      </c>
      <c r="G10" t="str">
        <f t="shared" si="5"/>
        <v>AiN</v>
      </c>
      <c r="H10" t="str">
        <f t="shared" si="6"/>
        <v>rju</v>
      </c>
      <c r="I10" t="s">
        <v>111</v>
      </c>
      <c r="J10" t="s">
        <v>112</v>
      </c>
      <c r="K10" t="str">
        <f t="shared" si="7"/>
        <v>Arjun JAiN</v>
      </c>
      <c r="L10" t="s">
        <v>110</v>
      </c>
      <c r="M10" t="s">
        <v>113</v>
      </c>
      <c r="N10" t="b">
        <f t="shared" si="8"/>
        <v>0</v>
      </c>
      <c r="O10" t="b">
        <f t="shared" si="9"/>
        <v>1</v>
      </c>
      <c r="P10" t="e">
        <f t="shared" si="10"/>
        <v>#VALUE!</v>
      </c>
      <c r="Q10">
        <f t="shared" si="11"/>
        <v>1</v>
      </c>
      <c r="R10" t="str">
        <f t="shared" si="12"/>
        <v>Arjun @ain</v>
      </c>
      <c r="S10" t="str">
        <f t="shared" si="13"/>
        <v>Arjun J@in</v>
      </c>
      <c r="T10" t="s">
        <v>114</v>
      </c>
      <c r="U10" t="str">
        <f t="shared" si="14"/>
        <v>Arjun JAiN</v>
      </c>
      <c r="V10" t="str">
        <f t="shared" si="15"/>
        <v xml:space="preserve">Arjun </v>
      </c>
      <c r="W10" t="str">
        <f t="shared" si="16"/>
        <v>JAiN</v>
      </c>
    </row>
    <row r="11" spans="1:23" x14ac:dyDescent="0.35">
      <c r="A11" t="s">
        <v>115</v>
      </c>
      <c r="B11" t="str">
        <f t="shared" si="0"/>
        <v>ARJUN KAPOOR</v>
      </c>
      <c r="C11" t="str">
        <f t="shared" si="1"/>
        <v>arjun kapoor</v>
      </c>
      <c r="D11" t="str">
        <f t="shared" si="2"/>
        <v>Arjun Kapoor</v>
      </c>
      <c r="E11">
        <f t="shared" si="3"/>
        <v>12</v>
      </c>
      <c r="F11" t="str">
        <f t="shared" si="4"/>
        <v>Ar</v>
      </c>
      <c r="G11" t="str">
        <f t="shared" si="5"/>
        <v>oor</v>
      </c>
      <c r="H11" t="str">
        <f t="shared" si="6"/>
        <v>rju</v>
      </c>
      <c r="I11" t="s">
        <v>111</v>
      </c>
      <c r="J11" t="s">
        <v>116</v>
      </c>
      <c r="K11" t="str">
        <f t="shared" si="7"/>
        <v>Arjun Kapoor</v>
      </c>
      <c r="L11" t="s">
        <v>115</v>
      </c>
      <c r="M11" t="s">
        <v>115</v>
      </c>
      <c r="N11" t="b">
        <f t="shared" si="8"/>
        <v>1</v>
      </c>
      <c r="O11" t="b">
        <f t="shared" si="9"/>
        <v>1</v>
      </c>
      <c r="P11">
        <f t="shared" si="10"/>
        <v>8</v>
      </c>
      <c r="Q11">
        <f t="shared" si="11"/>
        <v>1</v>
      </c>
      <c r="R11" t="str">
        <f t="shared" si="12"/>
        <v>Arjun @apoor</v>
      </c>
      <c r="S11" t="str">
        <f t="shared" si="13"/>
        <v>Arjun K@poor</v>
      </c>
      <c r="T11" t="s">
        <v>117</v>
      </c>
      <c r="U11" t="str">
        <f t="shared" si="14"/>
        <v>Arjun Kapoor</v>
      </c>
      <c r="V11" t="str">
        <f t="shared" si="15"/>
        <v xml:space="preserve">Arjun </v>
      </c>
      <c r="W11" t="str">
        <f t="shared" si="16"/>
        <v>Kapoor</v>
      </c>
    </row>
  </sheetData>
  <dataValidations count="1">
    <dataValidation type="custom" allowBlank="1" showInputMessage="1" showErrorMessage="1" sqref="A1:A11 I1:I11 L1:L11 T1:T11" xr:uid="{337F82FD-85EB-4182-9D08-52A836D0B434}">
      <formula1>ISTEXT(A1)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C671-EC97-4EBC-BF3F-7ACD15786E9F}">
  <dimension ref="A1:M26"/>
  <sheetViews>
    <sheetView topLeftCell="A3" zoomScale="85" workbookViewId="0">
      <selection activeCell="F7" sqref="F7"/>
    </sheetView>
  </sheetViews>
  <sheetFormatPr defaultRowHeight="14.5" x14ac:dyDescent="0.35"/>
  <cols>
    <col min="1" max="1" width="14.90625" bestFit="1" customWidth="1"/>
    <col min="2" max="2" width="8.54296875" bestFit="1" customWidth="1"/>
    <col min="3" max="3" width="12" bestFit="1" customWidth="1"/>
    <col min="4" max="4" width="12.7265625" bestFit="1" customWidth="1"/>
    <col min="5" max="5" width="6.453125" bestFit="1" customWidth="1"/>
    <col min="6" max="6" width="12" bestFit="1" customWidth="1"/>
    <col min="7" max="7" width="12.1796875" bestFit="1" customWidth="1"/>
    <col min="8" max="8" width="12.54296875" bestFit="1" customWidth="1"/>
    <col min="9" max="9" width="13" bestFit="1" customWidth="1"/>
    <col min="10" max="10" width="9.7265625" bestFit="1" customWidth="1"/>
    <col min="11" max="11" width="11.90625" bestFit="1" customWidth="1"/>
    <col min="12" max="12" width="3.90625" bestFit="1" customWidth="1"/>
    <col min="13" max="13" width="40.6328125" bestFit="1" customWidth="1"/>
  </cols>
  <sheetData>
    <row r="1" spans="1:13" x14ac:dyDescent="0.35">
      <c r="A1" s="5" t="s">
        <v>55</v>
      </c>
      <c r="C1" s="5"/>
    </row>
    <row r="2" spans="1:13" x14ac:dyDescent="0.35">
      <c r="A2" t="s">
        <v>73</v>
      </c>
    </row>
    <row r="3" spans="1:13" x14ac:dyDescent="0.35">
      <c r="A3" t="s">
        <v>78</v>
      </c>
    </row>
    <row r="4" spans="1:13" x14ac:dyDescent="0.35">
      <c r="A4" t="s">
        <v>83</v>
      </c>
    </row>
    <row r="5" spans="1:13" x14ac:dyDescent="0.35">
      <c r="A5" t="s">
        <v>88</v>
      </c>
    </row>
    <row r="6" spans="1:13" x14ac:dyDescent="0.35">
      <c r="A6" t="s">
        <v>92</v>
      </c>
    </row>
    <row r="7" spans="1:13" x14ac:dyDescent="0.35">
      <c r="A7" t="s">
        <v>98</v>
      </c>
      <c r="L7" t="s">
        <v>118</v>
      </c>
      <c r="M7" t="s">
        <v>119</v>
      </c>
    </row>
    <row r="8" spans="1:13" x14ac:dyDescent="0.35">
      <c r="A8" t="s">
        <v>102</v>
      </c>
      <c r="L8" t="s">
        <v>120</v>
      </c>
      <c r="M8" t="s">
        <v>136</v>
      </c>
    </row>
    <row r="9" spans="1:13" x14ac:dyDescent="0.35">
      <c r="A9" t="s">
        <v>106</v>
      </c>
    </row>
    <row r="10" spans="1:13" x14ac:dyDescent="0.35">
      <c r="A10" t="s">
        <v>110</v>
      </c>
    </row>
    <row r="11" spans="1:13" x14ac:dyDescent="0.35">
      <c r="A11" t="s">
        <v>115</v>
      </c>
    </row>
    <row r="14" spans="1:13" x14ac:dyDescent="0.35">
      <c r="A14" s="5" t="s">
        <v>55</v>
      </c>
      <c r="B14" t="s">
        <v>73</v>
      </c>
      <c r="C14" t="s">
        <v>78</v>
      </c>
      <c r="D14" t="s">
        <v>83</v>
      </c>
      <c r="E14" t="s">
        <v>88</v>
      </c>
      <c r="F14" t="s">
        <v>92</v>
      </c>
      <c r="G14" t="s">
        <v>98</v>
      </c>
      <c r="H14" t="s">
        <v>102</v>
      </c>
      <c r="I14" t="s">
        <v>106</v>
      </c>
      <c r="J14" t="s">
        <v>110</v>
      </c>
      <c r="K14" t="s">
        <v>115</v>
      </c>
    </row>
    <row r="16" spans="1:13" x14ac:dyDescent="0.35">
      <c r="A16" s="5" t="s">
        <v>55</v>
      </c>
    </row>
    <row r="17" spans="1:1" x14ac:dyDescent="0.35">
      <c r="A17" t="s">
        <v>73</v>
      </c>
    </row>
    <row r="18" spans="1:1" x14ac:dyDescent="0.35">
      <c r="A18" t="s">
        <v>78</v>
      </c>
    </row>
    <row r="19" spans="1:1" x14ac:dyDescent="0.35">
      <c r="A19" t="s">
        <v>83</v>
      </c>
    </row>
    <row r="20" spans="1:1" x14ac:dyDescent="0.35">
      <c r="A20" t="s">
        <v>88</v>
      </c>
    </row>
    <row r="21" spans="1:1" x14ac:dyDescent="0.35">
      <c r="A21" t="s">
        <v>92</v>
      </c>
    </row>
    <row r="22" spans="1:1" x14ac:dyDescent="0.35">
      <c r="A22" t="s">
        <v>98</v>
      </c>
    </row>
    <row r="23" spans="1:1" x14ac:dyDescent="0.35">
      <c r="A23" t="s">
        <v>102</v>
      </c>
    </row>
    <row r="24" spans="1:1" x14ac:dyDescent="0.35">
      <c r="A24" t="s">
        <v>106</v>
      </c>
    </row>
    <row r="25" spans="1:1" x14ac:dyDescent="0.35">
      <c r="A25" t="s">
        <v>110</v>
      </c>
    </row>
    <row r="26" spans="1:1" x14ac:dyDescent="0.35">
      <c r="A26" t="s">
        <v>115</v>
      </c>
    </row>
  </sheetData>
  <dataValidations count="1">
    <dataValidation type="custom" allowBlank="1" showInputMessage="1" showErrorMessage="1" sqref="A1:A11 C1:M1 A14:K14 A16:A26" xr:uid="{17D62983-459B-41ED-9181-4A3C89DD6F3B}">
      <formula1>ISTEXT(A1)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C72B-19B2-4B6E-89D5-4220E1BB209A}">
  <dimension ref="A1:F16"/>
  <sheetViews>
    <sheetView workbookViewId="0">
      <selection activeCell="D11" sqref="D11"/>
    </sheetView>
  </sheetViews>
  <sheetFormatPr defaultRowHeight="14.5" x14ac:dyDescent="0.35"/>
  <cols>
    <col min="1" max="1" width="14.81640625" bestFit="1" customWidth="1"/>
    <col min="2" max="2" width="14.453125" bestFit="1" customWidth="1"/>
    <col min="5" max="5" width="15.54296875" customWidth="1"/>
    <col min="6" max="6" width="14.453125" bestFit="1" customWidth="1"/>
    <col min="7" max="7" width="14" customWidth="1"/>
    <col min="8" max="8" width="14.453125" bestFit="1" customWidth="1"/>
  </cols>
  <sheetData>
    <row r="1" spans="1:6" x14ac:dyDescent="0.35">
      <c r="A1" s="5" t="s">
        <v>55</v>
      </c>
      <c r="B1" s="5" t="s">
        <v>55</v>
      </c>
      <c r="E1" s="5" t="s">
        <v>55</v>
      </c>
      <c r="F1" t="str">
        <f t="shared" ref="F1:F11" si="0">E1</f>
        <v>Employee Name</v>
      </c>
    </row>
    <row r="2" spans="1:6" x14ac:dyDescent="0.35">
      <c r="A2" t="s">
        <v>123</v>
      </c>
      <c r="B2" t="s">
        <v>73</v>
      </c>
      <c r="E2" t="s">
        <v>73</v>
      </c>
      <c r="F2" t="str">
        <f t="shared" si="0"/>
        <v>JP Kumar</v>
      </c>
    </row>
    <row r="3" spans="1:6" x14ac:dyDescent="0.35">
      <c r="A3" t="s">
        <v>78</v>
      </c>
      <c r="B3" t="s">
        <v>78</v>
      </c>
      <c r="E3" t="s">
        <v>78</v>
      </c>
      <c r="F3" t="str">
        <f t="shared" si="0"/>
        <v>Anjali THakur</v>
      </c>
    </row>
    <row r="4" spans="1:6" x14ac:dyDescent="0.35">
      <c r="A4" t="s">
        <v>121</v>
      </c>
      <c r="B4" t="s">
        <v>121</v>
      </c>
      <c r="E4" t="s">
        <v>121</v>
      </c>
      <c r="F4" t="str">
        <f t="shared" si="0"/>
        <v>Priya Sharma</v>
      </c>
    </row>
    <row r="5" spans="1:6" x14ac:dyDescent="0.35">
      <c r="A5" t="s">
        <v>88</v>
      </c>
      <c r="B5" t="s">
        <v>88</v>
      </c>
      <c r="E5" t="s">
        <v>88</v>
      </c>
      <c r="F5" t="str">
        <f t="shared" si="0"/>
        <v>R Vasu</v>
      </c>
    </row>
    <row r="6" spans="1:6" x14ac:dyDescent="0.35">
      <c r="A6" t="s">
        <v>92</v>
      </c>
      <c r="B6" t="s">
        <v>92</v>
      </c>
      <c r="E6" t="s">
        <v>92</v>
      </c>
      <c r="F6" t="str">
        <f t="shared" si="0"/>
        <v>Sanjay GuptA</v>
      </c>
    </row>
    <row r="7" spans="1:6" x14ac:dyDescent="0.35">
      <c r="A7" t="s">
        <v>98</v>
      </c>
      <c r="B7" t="s">
        <v>98</v>
      </c>
      <c r="E7" t="s">
        <v>98</v>
      </c>
      <c r="F7" t="str">
        <f t="shared" si="0"/>
        <v>Jharna Biswal</v>
      </c>
    </row>
    <row r="8" spans="1:6" x14ac:dyDescent="0.35">
      <c r="A8" t="s">
        <v>102</v>
      </c>
      <c r="B8" t="s">
        <v>102</v>
      </c>
      <c r="E8" t="s">
        <v>102</v>
      </c>
      <c r="F8" t="str">
        <f t="shared" si="0"/>
        <v>Prakash Dutta</v>
      </c>
    </row>
    <row r="9" spans="1:6" x14ac:dyDescent="0.35">
      <c r="A9" t="s">
        <v>106</v>
      </c>
      <c r="B9" t="s">
        <v>106</v>
      </c>
      <c r="E9" t="s">
        <v>106</v>
      </c>
      <c r="F9" t="str">
        <f t="shared" si="0"/>
        <v>Manisha Guha</v>
      </c>
    </row>
    <row r="10" spans="1:6" x14ac:dyDescent="0.35">
      <c r="A10" t="s">
        <v>122</v>
      </c>
      <c r="B10" t="s">
        <v>122</v>
      </c>
      <c r="E10" t="s">
        <v>122</v>
      </c>
      <c r="F10" t="str">
        <f t="shared" si="0"/>
        <v>Arjun Reddy</v>
      </c>
    </row>
    <row r="11" spans="1:6" x14ac:dyDescent="0.35">
      <c r="A11" t="s">
        <v>115</v>
      </c>
      <c r="B11" t="s">
        <v>115</v>
      </c>
      <c r="E11" t="s">
        <v>115</v>
      </c>
      <c r="F11" t="str">
        <f t="shared" si="0"/>
        <v>Arjun Kapoor</v>
      </c>
    </row>
    <row r="15" spans="1:6" x14ac:dyDescent="0.35">
      <c r="A15" t="s">
        <v>143</v>
      </c>
    </row>
    <row r="16" spans="1:6" x14ac:dyDescent="0.35">
      <c r="A16" t="s">
        <v>144</v>
      </c>
    </row>
  </sheetData>
  <dataValidations count="1">
    <dataValidation type="custom" allowBlank="1" showInputMessage="1" showErrorMessage="1" sqref="A1:B11 E1:E11" xr:uid="{F8042790-4EE7-4E98-940B-CFB1630E1D87}">
      <formula1>ISTEXT(A1)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D382-B2FA-4771-94B8-9B205193186C}">
  <dimension ref="A1:F14"/>
  <sheetViews>
    <sheetView tabSelected="1" workbookViewId="0">
      <selection activeCell="C14" sqref="C14"/>
    </sheetView>
  </sheetViews>
  <sheetFormatPr defaultRowHeight="14.5" x14ac:dyDescent="0.35"/>
  <cols>
    <col min="1" max="1" width="10.54296875" bestFit="1" customWidth="1"/>
    <col min="2" max="2" width="9.36328125" bestFit="1" customWidth="1"/>
    <col min="5" max="5" width="10.54296875" bestFit="1" customWidth="1"/>
  </cols>
  <sheetData>
    <row r="1" spans="1:6" x14ac:dyDescent="0.35">
      <c r="A1" s="9" t="s">
        <v>124</v>
      </c>
      <c r="B1" s="9"/>
      <c r="E1" s="9" t="s">
        <v>125</v>
      </c>
      <c r="F1" s="9"/>
    </row>
    <row r="2" spans="1:6" x14ac:dyDescent="0.35">
      <c r="A2" t="s">
        <v>126</v>
      </c>
      <c r="B2" t="s">
        <v>127</v>
      </c>
      <c r="E2" t="s">
        <v>126</v>
      </c>
      <c r="F2" t="s">
        <v>127</v>
      </c>
    </row>
    <row r="3" spans="1:6" x14ac:dyDescent="0.35">
      <c r="A3" t="s">
        <v>128</v>
      </c>
      <c r="B3">
        <v>54</v>
      </c>
      <c r="E3" t="s">
        <v>128</v>
      </c>
      <c r="F3">
        <v>54</v>
      </c>
    </row>
    <row r="4" spans="1:6" x14ac:dyDescent="0.35">
      <c r="A4" t="s">
        <v>129</v>
      </c>
      <c r="B4">
        <v>65</v>
      </c>
      <c r="E4" t="s">
        <v>129</v>
      </c>
      <c r="F4">
        <v>65</v>
      </c>
    </row>
    <row r="5" spans="1:6" x14ac:dyDescent="0.35">
      <c r="A5" t="s">
        <v>130</v>
      </c>
      <c r="E5" t="s">
        <v>130</v>
      </c>
      <c r="F5">
        <v>78</v>
      </c>
    </row>
    <row r="6" spans="1:6" x14ac:dyDescent="0.35">
      <c r="A6" t="s">
        <v>131</v>
      </c>
      <c r="B6">
        <v>66</v>
      </c>
      <c r="E6" t="s">
        <v>131</v>
      </c>
      <c r="F6">
        <v>66</v>
      </c>
    </row>
    <row r="7" spans="1:6" x14ac:dyDescent="0.35">
      <c r="A7" t="s">
        <v>132</v>
      </c>
      <c r="B7">
        <v>76</v>
      </c>
      <c r="E7" t="s">
        <v>132</v>
      </c>
      <c r="F7">
        <v>76</v>
      </c>
    </row>
    <row r="8" spans="1:6" x14ac:dyDescent="0.35">
      <c r="A8" t="s">
        <v>133</v>
      </c>
      <c r="E8" t="s">
        <v>133</v>
      </c>
      <c r="F8">
        <v>56</v>
      </c>
    </row>
    <row r="9" spans="1:6" x14ac:dyDescent="0.35">
      <c r="A9" t="s">
        <v>134</v>
      </c>
      <c r="B9">
        <v>54</v>
      </c>
      <c r="E9" t="s">
        <v>134</v>
      </c>
      <c r="F9">
        <v>54</v>
      </c>
    </row>
    <row r="13" spans="1:6" x14ac:dyDescent="0.35">
      <c r="A13" t="s">
        <v>145</v>
      </c>
    </row>
    <row r="14" spans="1:6" x14ac:dyDescent="0.35">
      <c r="A14" t="s">
        <v>135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4B61-A84F-47F7-A1A4-55FE870D9F73}">
  <dimension ref="A1:J16"/>
  <sheetViews>
    <sheetView workbookViewId="0">
      <selection activeCell="A17" sqref="A17"/>
    </sheetView>
  </sheetViews>
  <sheetFormatPr defaultRowHeight="14.5" x14ac:dyDescent="0.35"/>
  <sheetData>
    <row r="1" spans="1:10" x14ac:dyDescent="0.3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H1" t="s">
        <v>142</v>
      </c>
      <c r="I1">
        <v>10</v>
      </c>
      <c r="J1">
        <v>-1</v>
      </c>
    </row>
    <row r="2" spans="1:10" x14ac:dyDescent="0.35">
      <c r="A2">
        <v>54</v>
      </c>
      <c r="B2">
        <v>85</v>
      </c>
      <c r="C2">
        <v>-39</v>
      </c>
      <c r="D2">
        <v>1242</v>
      </c>
      <c r="E2">
        <v>0.31481481481481483</v>
      </c>
      <c r="H2">
        <v>54</v>
      </c>
      <c r="I2">
        <f>H2*$I$1</f>
        <v>540</v>
      </c>
      <c r="J2">
        <f>I2*$J$1</f>
        <v>-540</v>
      </c>
    </row>
    <row r="3" spans="1:10" x14ac:dyDescent="0.35">
      <c r="A3">
        <v>16</v>
      </c>
      <c r="B3">
        <v>24</v>
      </c>
      <c r="C3">
        <v>16</v>
      </c>
      <c r="D3">
        <v>752</v>
      </c>
      <c r="E3">
        <v>0.5625</v>
      </c>
      <c r="H3">
        <v>16</v>
      </c>
      <c r="I3">
        <f t="shared" ref="I3:I10" si="0">H3*$I$1</f>
        <v>160</v>
      </c>
      <c r="J3">
        <f t="shared" ref="J3:J10" si="1">I3*$J$1</f>
        <v>-160</v>
      </c>
    </row>
    <row r="4" spans="1:10" x14ac:dyDescent="0.35">
      <c r="A4">
        <v>55</v>
      </c>
      <c r="B4">
        <v>100</v>
      </c>
      <c r="C4">
        <v>-19</v>
      </c>
      <c r="D4">
        <v>220</v>
      </c>
      <c r="E4">
        <v>0.61818181818181817</v>
      </c>
      <c r="H4">
        <v>55</v>
      </c>
      <c r="I4">
        <f t="shared" si="0"/>
        <v>550</v>
      </c>
      <c r="J4">
        <f t="shared" si="1"/>
        <v>-550</v>
      </c>
    </row>
    <row r="5" spans="1:10" x14ac:dyDescent="0.35">
      <c r="A5">
        <v>28</v>
      </c>
      <c r="B5">
        <v>41</v>
      </c>
      <c r="C5">
        <v>2</v>
      </c>
      <c r="D5">
        <v>952</v>
      </c>
      <c r="E5">
        <v>0.75</v>
      </c>
      <c r="H5">
        <v>28</v>
      </c>
      <c r="I5">
        <f t="shared" si="0"/>
        <v>280</v>
      </c>
      <c r="J5">
        <f t="shared" si="1"/>
        <v>-280</v>
      </c>
    </row>
    <row r="6" spans="1:10" x14ac:dyDescent="0.35">
      <c r="A6">
        <v>34</v>
      </c>
      <c r="B6">
        <v>52</v>
      </c>
      <c r="C6">
        <v>-11</v>
      </c>
      <c r="D6">
        <v>1530</v>
      </c>
      <c r="E6">
        <v>0.94117647058823495</v>
      </c>
      <c r="H6">
        <v>34</v>
      </c>
      <c r="I6">
        <f t="shared" si="0"/>
        <v>340</v>
      </c>
      <c r="J6">
        <f t="shared" si="1"/>
        <v>-340</v>
      </c>
    </row>
    <row r="7" spans="1:10" x14ac:dyDescent="0.35">
      <c r="A7">
        <v>55</v>
      </c>
      <c r="B7">
        <v>92</v>
      </c>
      <c r="C7">
        <v>-21</v>
      </c>
      <c r="D7">
        <v>440</v>
      </c>
      <c r="E7">
        <v>1.8181818181818181E-2</v>
      </c>
      <c r="H7">
        <v>55</v>
      </c>
      <c r="I7">
        <f t="shared" si="0"/>
        <v>550</v>
      </c>
      <c r="J7">
        <f t="shared" si="1"/>
        <v>-550</v>
      </c>
    </row>
    <row r="8" spans="1:10" x14ac:dyDescent="0.35">
      <c r="A8">
        <v>63</v>
      </c>
      <c r="B8">
        <v>104</v>
      </c>
      <c r="C8">
        <v>-16</v>
      </c>
      <c r="D8">
        <v>315</v>
      </c>
      <c r="E8">
        <v>0.25396825396825395</v>
      </c>
      <c r="H8">
        <v>63</v>
      </c>
      <c r="I8">
        <f t="shared" si="0"/>
        <v>630</v>
      </c>
      <c r="J8">
        <f t="shared" si="1"/>
        <v>-630</v>
      </c>
    </row>
    <row r="9" spans="1:10" x14ac:dyDescent="0.35">
      <c r="A9">
        <v>28</v>
      </c>
      <c r="B9">
        <v>59</v>
      </c>
      <c r="C9">
        <v>11</v>
      </c>
      <c r="D9">
        <v>840</v>
      </c>
      <c r="E9">
        <v>1.3571428571428572</v>
      </c>
      <c r="H9">
        <v>28</v>
      </c>
      <c r="I9">
        <f t="shared" si="0"/>
        <v>280</v>
      </c>
      <c r="J9">
        <f t="shared" si="1"/>
        <v>-280</v>
      </c>
    </row>
    <row r="10" spans="1:10" x14ac:dyDescent="0.35">
      <c r="A10">
        <v>52</v>
      </c>
      <c r="B10">
        <v>81</v>
      </c>
      <c r="C10">
        <v>-11</v>
      </c>
      <c r="D10">
        <v>624</v>
      </c>
      <c r="E10">
        <v>0.96153846153846156</v>
      </c>
      <c r="H10">
        <v>52</v>
      </c>
      <c r="I10">
        <f t="shared" si="0"/>
        <v>520</v>
      </c>
      <c r="J10">
        <f t="shared" si="1"/>
        <v>-520</v>
      </c>
    </row>
    <row r="14" spans="1:10" x14ac:dyDescent="0.35">
      <c r="A14" t="s">
        <v>145</v>
      </c>
    </row>
    <row r="15" spans="1:10" x14ac:dyDescent="0.35">
      <c r="A15" t="s">
        <v>146</v>
      </c>
    </row>
    <row r="16" spans="1:10" x14ac:dyDescent="0.35">
      <c r="A16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9688-F919-4A07-9B3F-BCBF0DCFB2AB}">
  <dimension ref="A1:Y10"/>
  <sheetViews>
    <sheetView workbookViewId="0">
      <selection activeCell="F9" sqref="F9"/>
    </sheetView>
  </sheetViews>
  <sheetFormatPr defaultRowHeight="14.5" x14ac:dyDescent="0.35"/>
  <cols>
    <col min="5" max="5" width="10.81640625" bestFit="1" customWidth="1"/>
    <col min="9" max="9" width="13.81640625" bestFit="1" customWidth="1"/>
    <col min="18" max="18" width="10" bestFit="1" customWidth="1"/>
  </cols>
  <sheetData>
    <row r="1" spans="1:25" x14ac:dyDescent="0.35">
      <c r="A1" t="s">
        <v>137</v>
      </c>
      <c r="B1" t="s">
        <v>148</v>
      </c>
      <c r="C1" t="s">
        <v>149</v>
      </c>
      <c r="D1" t="s">
        <v>150</v>
      </c>
      <c r="E1" t="s">
        <v>151</v>
      </c>
      <c r="G1" t="s">
        <v>137</v>
      </c>
      <c r="H1" t="s">
        <v>152</v>
      </c>
      <c r="I1" t="s">
        <v>153</v>
      </c>
      <c r="J1" t="s">
        <v>154</v>
      </c>
      <c r="K1" t="s">
        <v>137</v>
      </c>
      <c r="L1" t="s">
        <v>155</v>
      </c>
      <c r="N1" t="s">
        <v>137</v>
      </c>
      <c r="O1" t="s">
        <v>156</v>
      </c>
      <c r="Q1" t="s">
        <v>137</v>
      </c>
      <c r="R1" t="s">
        <v>157</v>
      </c>
      <c r="S1" t="s">
        <v>158</v>
      </c>
      <c r="U1" t="s">
        <v>137</v>
      </c>
      <c r="V1" t="s">
        <v>159</v>
      </c>
      <c r="X1" t="s">
        <v>137</v>
      </c>
      <c r="Y1" t="s">
        <v>160</v>
      </c>
    </row>
    <row r="2" spans="1:25" x14ac:dyDescent="0.35">
      <c r="A2">
        <v>5.46</v>
      </c>
      <c r="B2">
        <f>INT(A2)</f>
        <v>5</v>
      </c>
      <c r="C2">
        <f>ROUND(A2,0)</f>
        <v>5</v>
      </c>
      <c r="D2">
        <f>ROUNDUP(A2,0)</f>
        <v>6</v>
      </c>
      <c r="E2">
        <f>ROUNDDOWN(A2,0)</f>
        <v>5</v>
      </c>
      <c r="G2">
        <v>4</v>
      </c>
      <c r="H2">
        <v>2</v>
      </c>
      <c r="K2">
        <v>4</v>
      </c>
      <c r="N2" t="s">
        <v>161</v>
      </c>
      <c r="Q2">
        <v>4</v>
      </c>
      <c r="U2">
        <v>25</v>
      </c>
      <c r="X2">
        <v>-25</v>
      </c>
    </row>
    <row r="3" spans="1:25" x14ac:dyDescent="0.35">
      <c r="A3">
        <v>1.6</v>
      </c>
      <c r="B3">
        <f t="shared" ref="B3:B10" si="0">INT(A3)</f>
        <v>1</v>
      </c>
      <c r="C3">
        <f t="shared" ref="C3:C10" si="1">ROUND(A3,0)</f>
        <v>2</v>
      </c>
      <c r="D3">
        <f t="shared" ref="D3:D10" si="2">ROUNDUP(A3,0)</f>
        <v>2</v>
      </c>
      <c r="E3">
        <f t="shared" ref="E3:E10" si="3">ROUNDDOWN(A3,0)</f>
        <v>1</v>
      </c>
      <c r="G3">
        <v>6</v>
      </c>
      <c r="H3">
        <v>3</v>
      </c>
      <c r="K3">
        <v>6</v>
      </c>
      <c r="N3" t="s">
        <v>162</v>
      </c>
      <c r="Q3">
        <v>6</v>
      </c>
      <c r="U3">
        <v>4</v>
      </c>
      <c r="X3">
        <v>-4</v>
      </c>
    </row>
    <row r="4" spans="1:25" x14ac:dyDescent="0.35">
      <c r="A4">
        <v>5.5</v>
      </c>
      <c r="B4">
        <f t="shared" si="0"/>
        <v>5</v>
      </c>
      <c r="C4">
        <f t="shared" si="1"/>
        <v>6</v>
      </c>
      <c r="D4">
        <f t="shared" si="2"/>
        <v>6</v>
      </c>
      <c r="E4">
        <f t="shared" si="3"/>
        <v>5</v>
      </c>
      <c r="G4">
        <v>2</v>
      </c>
      <c r="H4">
        <v>3</v>
      </c>
      <c r="K4">
        <v>2</v>
      </c>
      <c r="N4" t="s">
        <v>163</v>
      </c>
      <c r="Q4">
        <v>2</v>
      </c>
      <c r="U4">
        <v>16</v>
      </c>
      <c r="X4">
        <v>-16</v>
      </c>
    </row>
    <row r="5" spans="1:25" x14ac:dyDescent="0.35">
      <c r="A5">
        <v>2.8</v>
      </c>
      <c r="B5">
        <f t="shared" si="0"/>
        <v>2</v>
      </c>
      <c r="C5">
        <f t="shared" si="1"/>
        <v>3</v>
      </c>
      <c r="D5">
        <f t="shared" si="2"/>
        <v>3</v>
      </c>
      <c r="E5">
        <f t="shared" si="3"/>
        <v>2</v>
      </c>
      <c r="G5">
        <v>8</v>
      </c>
      <c r="H5">
        <v>2</v>
      </c>
      <c r="K5">
        <v>8</v>
      </c>
      <c r="N5" t="s">
        <v>164</v>
      </c>
      <c r="Q5">
        <v>8</v>
      </c>
      <c r="U5">
        <v>125</v>
      </c>
      <c r="X5">
        <v>-125</v>
      </c>
    </row>
    <row r="6" spans="1:25" x14ac:dyDescent="0.35">
      <c r="A6">
        <v>3.4</v>
      </c>
      <c r="B6">
        <f t="shared" si="0"/>
        <v>3</v>
      </c>
      <c r="C6">
        <f t="shared" si="1"/>
        <v>3</v>
      </c>
      <c r="D6">
        <f t="shared" si="2"/>
        <v>4</v>
      </c>
      <c r="E6">
        <f t="shared" si="3"/>
        <v>3</v>
      </c>
      <c r="G6">
        <v>5</v>
      </c>
      <c r="H6">
        <v>2</v>
      </c>
      <c r="K6">
        <v>5</v>
      </c>
      <c r="N6" t="s">
        <v>165</v>
      </c>
      <c r="Q6">
        <v>5</v>
      </c>
      <c r="U6">
        <v>625</v>
      </c>
      <c r="X6">
        <v>-625</v>
      </c>
    </row>
    <row r="7" spans="1:25" x14ac:dyDescent="0.35">
      <c r="A7">
        <v>5.5</v>
      </c>
      <c r="B7">
        <f t="shared" si="0"/>
        <v>5</v>
      </c>
      <c r="C7">
        <f t="shared" si="1"/>
        <v>6</v>
      </c>
      <c r="D7">
        <f t="shared" si="2"/>
        <v>6</v>
      </c>
      <c r="E7">
        <f t="shared" si="3"/>
        <v>5</v>
      </c>
      <c r="G7">
        <v>9</v>
      </c>
      <c r="H7">
        <v>3</v>
      </c>
      <c r="K7">
        <v>9</v>
      </c>
      <c r="N7" t="s">
        <v>166</v>
      </c>
      <c r="Q7">
        <v>9</v>
      </c>
      <c r="U7">
        <v>81</v>
      </c>
      <c r="X7">
        <v>-81</v>
      </c>
    </row>
    <row r="8" spans="1:25" x14ac:dyDescent="0.35">
      <c r="A8">
        <v>6.3</v>
      </c>
      <c r="B8">
        <f t="shared" si="0"/>
        <v>6</v>
      </c>
      <c r="C8">
        <f t="shared" si="1"/>
        <v>6</v>
      </c>
      <c r="D8">
        <f t="shared" si="2"/>
        <v>7</v>
      </c>
      <c r="E8">
        <f t="shared" si="3"/>
        <v>6</v>
      </c>
      <c r="G8">
        <v>2</v>
      </c>
      <c r="H8">
        <v>3</v>
      </c>
      <c r="K8">
        <v>2</v>
      </c>
      <c r="N8" t="s">
        <v>163</v>
      </c>
      <c r="Q8">
        <v>2</v>
      </c>
      <c r="U8">
        <v>36</v>
      </c>
      <c r="X8">
        <v>-36</v>
      </c>
    </row>
    <row r="9" spans="1:25" x14ac:dyDescent="0.35">
      <c r="A9">
        <v>2.8</v>
      </c>
      <c r="B9">
        <f t="shared" si="0"/>
        <v>2</v>
      </c>
      <c r="C9">
        <f t="shared" si="1"/>
        <v>3</v>
      </c>
      <c r="D9">
        <f t="shared" si="2"/>
        <v>3</v>
      </c>
      <c r="E9">
        <f t="shared" si="3"/>
        <v>2</v>
      </c>
      <c r="G9">
        <v>7</v>
      </c>
      <c r="H9">
        <v>2</v>
      </c>
      <c r="K9">
        <v>7</v>
      </c>
      <c r="N9" t="s">
        <v>167</v>
      </c>
      <c r="Q9">
        <v>7</v>
      </c>
      <c r="U9">
        <v>49</v>
      </c>
      <c r="X9">
        <v>-49</v>
      </c>
    </row>
    <row r="10" spans="1:25" x14ac:dyDescent="0.35">
      <c r="A10">
        <v>5.2</v>
      </c>
      <c r="B10">
        <f t="shared" si="0"/>
        <v>5</v>
      </c>
      <c r="C10">
        <f t="shared" si="1"/>
        <v>5</v>
      </c>
      <c r="D10">
        <f t="shared" si="2"/>
        <v>6</v>
      </c>
      <c r="E10">
        <f t="shared" si="3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Syllabus</vt:lpstr>
      <vt:lpstr>Inventions</vt:lpstr>
      <vt:lpstr>Class 1</vt:lpstr>
      <vt:lpstr>Introduction</vt:lpstr>
      <vt:lpstr>Day 1</vt:lpstr>
      <vt:lpstr>Transpose</vt:lpstr>
      <vt:lpstr>Paste Link</vt:lpstr>
      <vt:lpstr>Skip Blank</vt:lpstr>
      <vt:lpstr>Paste Special Operations</vt:lpstr>
      <vt:lpstr>Math and Trigo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Bhardwaj</dc:creator>
  <cp:lastModifiedBy>Shivam Bhardwaj</cp:lastModifiedBy>
  <dcterms:created xsi:type="dcterms:W3CDTF">2025-12-24T02:22:19Z</dcterms:created>
  <dcterms:modified xsi:type="dcterms:W3CDTF">2025-12-30T19:20:01Z</dcterms:modified>
</cp:coreProperties>
</file>